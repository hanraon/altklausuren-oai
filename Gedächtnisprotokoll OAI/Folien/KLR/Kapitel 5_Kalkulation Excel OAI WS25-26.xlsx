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y.mueller\Documents\Seafile\HWG LU\Kosten- und Leistungsrechnung\"/>
    </mc:Choice>
  </mc:AlternateContent>
  <bookViews>
    <workbookView xWindow="240" yWindow="48" windowWidth="18744" windowHeight="11964" activeTab="1"/>
  </bookViews>
  <sheets>
    <sheet name="Mehrstufige Divisionsrg" sheetId="1" r:id="rId1"/>
    <sheet name="Äquivalenzziffernrechnung" sheetId="4" r:id="rId2"/>
  </sheets>
  <calcPr calcId="162913"/>
</workbook>
</file>

<file path=xl/calcChain.xml><?xml version="1.0" encoding="utf-8"?>
<calcChain xmlns="http://schemas.openxmlformats.org/spreadsheetml/2006/main">
  <c r="G6" i="4" l="1"/>
  <c r="G4" i="4"/>
  <c r="G5" i="4"/>
  <c r="G3" i="4"/>
  <c r="G2" i="4"/>
  <c r="F5" i="4"/>
  <c r="F4" i="4"/>
  <c r="F3" i="4"/>
  <c r="F2" i="4"/>
  <c r="D9" i="4"/>
  <c r="E6" i="4"/>
  <c r="E4" i="4"/>
  <c r="E5" i="4"/>
  <c r="E3" i="4"/>
  <c r="E2" i="4"/>
  <c r="D5" i="4"/>
  <c r="D4" i="4"/>
  <c r="D3" i="4"/>
  <c r="H5" i="1"/>
  <c r="G5" i="1"/>
  <c r="F5" i="1"/>
  <c r="H4" i="1"/>
  <c r="G4" i="1"/>
  <c r="F4" i="1"/>
  <c r="H3" i="1"/>
  <c r="G3" i="1"/>
  <c r="F3" i="1"/>
  <c r="H2" i="1"/>
  <c r="G2" i="1"/>
</calcChain>
</file>

<file path=xl/sharedStrings.xml><?xml version="1.0" encoding="utf-8"?>
<sst xmlns="http://schemas.openxmlformats.org/spreadsheetml/2006/main" count="25" uniqueCount="25">
  <si>
    <t>Fertigung I</t>
  </si>
  <si>
    <t>Fertigung II</t>
  </si>
  <si>
    <t>Fertigung III</t>
  </si>
  <si>
    <t>Kosten der Vorprodukte</t>
  </si>
  <si>
    <t>Bereich</t>
  </si>
  <si>
    <t>Verpackung &amp; Vertrieb</t>
  </si>
  <si>
    <t>Stufen-bezogene Stückkosten    je 1.000 m²</t>
  </si>
  <si>
    <t>Einsatzmenge in 1.000 m²</t>
  </si>
  <si>
    <t>Ausbringungs-menge in 1.000 m²</t>
  </si>
  <si>
    <t>Primäre Stufenkosten</t>
  </si>
  <si>
    <t>Gesamte Kosten je Stufe</t>
  </si>
  <si>
    <t>Stufe</t>
  </si>
  <si>
    <t>B3</t>
  </si>
  <si>
    <t>B2</t>
  </si>
  <si>
    <t>B1</t>
  </si>
  <si>
    <t>B0</t>
  </si>
  <si>
    <t>Gesamtkosten der Baureihe</t>
  </si>
  <si>
    <t>Herstellkosten pro Stück</t>
  </si>
  <si>
    <t>äquivalente Einheiten</t>
  </si>
  <si>
    <t>Produktions-mengen in Stück</t>
  </si>
  <si>
    <t>Äquivalenz-ziffer</t>
  </si>
  <si>
    <t>Zahnraddurch-messer in cm</t>
  </si>
  <si>
    <t>Baureihe</t>
  </si>
  <si>
    <t>Gesamtkosten  in Summe</t>
  </si>
  <si>
    <t>Stückkosten pro Standardeinheit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</si>
</sst>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€&quot;_-;\-* #,##0.00\ &quot;€&quot;_-;_-* &quot;-&quot;??\ &quot;€&quot;_-;_-@_-"/>
    <numFmt numFmtId="164" formatCode="#,##0&quot;€&quot;"/>
    <numFmt numFmtId="165" formatCode="_-* #,##0.00&quot;€&quot;_-;\-* #,##0.00&quot;€&quot;_-;_-* &quot;-&quot;??&quot;€&quot;_-;_-@_-"/>
    <numFmt numFmtId="166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166" fontId="3" fillId="0" borderId="0" xfId="1" applyNumberFormat="1" applyFont="1" applyFill="1" applyBorder="1" applyAlignment="1">
      <alignment horizontal="center" vertical="center"/>
    </xf>
    <xf numFmtId="44" fontId="3" fillId="0" borderId="0" xfId="0" applyNumberFormat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60" zoomScaleNormal="160" workbookViewId="0">
      <selection activeCell="H6" sqref="H6"/>
    </sheetView>
  </sheetViews>
  <sheetFormatPr baseColWidth="10" defaultColWidth="11.44140625" defaultRowHeight="13.8" x14ac:dyDescent="0.25"/>
  <cols>
    <col min="1" max="1" width="6.44140625" style="4" customWidth="1"/>
    <col min="2" max="8" width="14.77734375" style="4" customWidth="1"/>
    <col min="9" max="16384" width="11.44140625" style="4"/>
  </cols>
  <sheetData>
    <row r="1" spans="1:8" s="2" customFormat="1" ht="60" customHeight="1" x14ac:dyDescent="0.3">
      <c r="A1" s="2" t="s">
        <v>11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3</v>
      </c>
      <c r="G1" s="1" t="s">
        <v>10</v>
      </c>
      <c r="H1" s="1" t="s">
        <v>6</v>
      </c>
    </row>
    <row r="2" spans="1:8" s="3" customFormat="1" ht="30" customHeight="1" x14ac:dyDescent="0.3">
      <c r="A2" s="8">
        <v>1</v>
      </c>
      <c r="B2" s="1" t="s">
        <v>0</v>
      </c>
      <c r="C2" s="5">
        <v>0</v>
      </c>
      <c r="D2" s="7">
        <v>270</v>
      </c>
      <c r="E2" s="6">
        <v>675000</v>
      </c>
      <c r="F2" s="6">
        <v>0</v>
      </c>
      <c r="G2" s="6">
        <f>E2+F2</f>
        <v>675000</v>
      </c>
      <c r="H2" s="6">
        <f>G2/D2</f>
        <v>2500</v>
      </c>
    </row>
    <row r="3" spans="1:8" s="3" customFormat="1" ht="30" customHeight="1" x14ac:dyDescent="0.3">
      <c r="A3" s="8">
        <v>2</v>
      </c>
      <c r="B3" s="1" t="s">
        <v>1</v>
      </c>
      <c r="C3" s="5">
        <v>250</v>
      </c>
      <c r="D3" s="7">
        <v>245</v>
      </c>
      <c r="E3" s="6">
        <v>1942600</v>
      </c>
      <c r="F3" s="6">
        <f>C3*H2</f>
        <v>625000</v>
      </c>
      <c r="G3" s="6">
        <f>E3+F3</f>
        <v>2567600</v>
      </c>
      <c r="H3" s="6">
        <f>G3/D3</f>
        <v>10480</v>
      </c>
    </row>
    <row r="4" spans="1:8" s="3" customFormat="1" ht="30" customHeight="1" x14ac:dyDescent="0.3">
      <c r="A4" s="8">
        <v>3</v>
      </c>
      <c r="B4" s="1" t="s">
        <v>2</v>
      </c>
      <c r="C4" s="5">
        <v>210</v>
      </c>
      <c r="D4" s="7">
        <v>198</v>
      </c>
      <c r="E4" s="6">
        <v>846420</v>
      </c>
      <c r="F4" s="6">
        <f>C4*H3</f>
        <v>2200800</v>
      </c>
      <c r="G4" s="6">
        <f>E4+F4</f>
        <v>3047220</v>
      </c>
      <c r="H4" s="6">
        <f>G4/D4</f>
        <v>15390</v>
      </c>
    </row>
    <row r="5" spans="1:8" s="3" customFormat="1" ht="30" customHeight="1" x14ac:dyDescent="0.3">
      <c r="A5" s="8">
        <v>4</v>
      </c>
      <c r="B5" s="1" t="s">
        <v>5</v>
      </c>
      <c r="C5" s="5">
        <v>201</v>
      </c>
      <c r="D5" s="7">
        <v>201</v>
      </c>
      <c r="E5" s="6">
        <v>136680</v>
      </c>
      <c r="F5" s="6">
        <f>C5*H4</f>
        <v>3093390</v>
      </c>
      <c r="G5" s="6">
        <f>E5+F5</f>
        <v>3230070</v>
      </c>
      <c r="H5" s="6">
        <f>G5/D5</f>
        <v>16070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180" zoomScaleNormal="180" workbookViewId="0">
      <selection activeCell="G6" sqref="G6"/>
    </sheetView>
  </sheetViews>
  <sheetFormatPr baseColWidth="10" defaultRowHeight="14.4" x14ac:dyDescent="0.3"/>
  <cols>
    <col min="1" max="1" width="9.21875" customWidth="1"/>
    <col min="2" max="2" width="15.77734375" customWidth="1"/>
    <col min="3" max="5" width="12.77734375" customWidth="1"/>
    <col min="6" max="6" width="13.77734375" customWidth="1"/>
    <col min="7" max="7" width="15.21875" customWidth="1"/>
  </cols>
  <sheetData>
    <row r="1" spans="1:7" s="17" customFormat="1" ht="43.2" x14ac:dyDescent="0.3">
      <c r="A1" s="18" t="s">
        <v>22</v>
      </c>
      <c r="B1" s="18" t="s">
        <v>21</v>
      </c>
      <c r="C1" s="18" t="s">
        <v>19</v>
      </c>
      <c r="D1" s="18" t="s">
        <v>20</v>
      </c>
      <c r="E1" s="18" t="s">
        <v>18</v>
      </c>
      <c r="F1" s="18" t="s">
        <v>17</v>
      </c>
      <c r="G1" s="18" t="s">
        <v>16</v>
      </c>
    </row>
    <row r="2" spans="1:7" s="9" customFormat="1" ht="20.100000000000001" customHeight="1" x14ac:dyDescent="0.3">
      <c r="A2" s="9" t="s">
        <v>15</v>
      </c>
      <c r="B2" s="16">
        <v>25</v>
      </c>
      <c r="C2" s="11">
        <v>4500</v>
      </c>
      <c r="D2" s="16">
        <v>1</v>
      </c>
      <c r="E2" s="11">
        <f>C2*D2</f>
        <v>4500</v>
      </c>
      <c r="F2" s="15">
        <f>D9</f>
        <v>61.520794028381594</v>
      </c>
      <c r="G2" s="10">
        <f>F2*C2</f>
        <v>276843.57312771719</v>
      </c>
    </row>
    <row r="3" spans="1:7" s="9" customFormat="1" ht="20.100000000000001" customHeight="1" x14ac:dyDescent="0.3">
      <c r="A3" s="9" t="s">
        <v>14</v>
      </c>
      <c r="B3" s="16">
        <v>18.75</v>
      </c>
      <c r="C3" s="11">
        <v>2100</v>
      </c>
      <c r="D3" s="16">
        <f>B3/B2</f>
        <v>0.75</v>
      </c>
      <c r="E3" s="11">
        <f>C3*D3</f>
        <v>1575</v>
      </c>
      <c r="F3" s="15">
        <f>D9*D3</f>
        <v>46.140595521286194</v>
      </c>
      <c r="G3" s="10">
        <f>F3*C3</f>
        <v>96895.250594701007</v>
      </c>
    </row>
    <row r="4" spans="1:7" s="9" customFormat="1" ht="20.100000000000001" customHeight="1" x14ac:dyDescent="0.3">
      <c r="A4" s="9" t="s">
        <v>13</v>
      </c>
      <c r="B4" s="16">
        <v>32.5</v>
      </c>
      <c r="C4" s="11">
        <v>2570</v>
      </c>
      <c r="D4" s="16">
        <f>B4/B2</f>
        <v>1.3</v>
      </c>
      <c r="E4" s="11">
        <f>C4*D4</f>
        <v>3341</v>
      </c>
      <c r="F4" s="15">
        <f>D4*D9</f>
        <v>79.977032236896079</v>
      </c>
      <c r="G4" s="10">
        <f t="shared" ref="G4:G5" si="0">F4*C4</f>
        <v>205540.97284882292</v>
      </c>
    </row>
    <row r="5" spans="1:7" s="9" customFormat="1" ht="20.100000000000001" customHeight="1" x14ac:dyDescent="0.3">
      <c r="A5" s="14" t="s">
        <v>12</v>
      </c>
      <c r="B5" s="13">
        <v>37.5</v>
      </c>
      <c r="C5" s="12">
        <v>1850</v>
      </c>
      <c r="D5" s="16">
        <f>B5/B2</f>
        <v>1.5</v>
      </c>
      <c r="E5" s="11">
        <f t="shared" ref="E4:E5" si="1">C5*D5</f>
        <v>2775</v>
      </c>
      <c r="F5" s="15">
        <f>D5*D9</f>
        <v>92.281191042572388</v>
      </c>
      <c r="G5" s="10">
        <f t="shared" si="0"/>
        <v>170720.20342875892</v>
      </c>
    </row>
    <row r="6" spans="1:7" s="9" customFormat="1" ht="20.100000000000001" customHeight="1" x14ac:dyDescent="0.3">
      <c r="E6" s="11">
        <f>SUM(E2:E5)</f>
        <v>12191</v>
      </c>
      <c r="G6" s="10">
        <f>SUM(G2:G5)</f>
        <v>750000</v>
      </c>
    </row>
    <row r="7" spans="1:7" x14ac:dyDescent="0.3">
      <c r="A7" s="19" t="s">
        <v>23</v>
      </c>
      <c r="B7" s="20"/>
      <c r="C7" s="21">
        <v>750000</v>
      </c>
    </row>
    <row r="9" spans="1:7" x14ac:dyDescent="0.3">
      <c r="A9" s="19" t="s">
        <v>24</v>
      </c>
      <c r="C9" s="22"/>
      <c r="D9" s="23">
        <f>C7/E6</f>
        <v>61.520794028381594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Mehrstufige Divisionsrg</vt:lpstr>
      <vt:lpstr>Äquivalenzziffernrechnung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hmauz</dc:creator>
  <cp:lastModifiedBy>Müller, Harry</cp:lastModifiedBy>
  <cp:lastPrinted>2009-01-27T11:56:31Z</cp:lastPrinted>
  <dcterms:created xsi:type="dcterms:W3CDTF">2009-01-27T11:21:52Z</dcterms:created>
  <dcterms:modified xsi:type="dcterms:W3CDTF">2025-11-19T08:48:45Z</dcterms:modified>
</cp:coreProperties>
</file>