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Primäre_GK" sheetId="1" state="visible" r:id="rId1"/>
    <sheet name="Leistungsbeziehungen" sheetId="2" state="visible" r:id="rId2"/>
    <sheet name="Gleichungsverfahren Solver" sheetId="3" state="visible" r:id="rId3"/>
  </sheets>
  <definedNames>
    <definedName name="solver_adj" localSheetId="2" hidden="1">'Gleichungsverfahren Solver'!$B$12:$B$14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'Gleichungsverfahren Solver'!$D$12</definedName>
    <definedName name="solver_lhs2" localSheetId="2" hidden="1">'Gleichungsverfahren Solver'!$D$13</definedName>
    <definedName name="solver_lhs3" localSheetId="2" hidden="1">'Gleichungsverfahren Solver'!$D$14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2</definedName>
    <definedName name="solver_rel3" localSheetId="2" hidden="1">2</definedName>
    <definedName name="solver_rhs1" localSheetId="2" hidden="1">'Gleichungsverfahren Solver'!$E$12</definedName>
    <definedName name="solver_rhs2" localSheetId="2" hidden="1">'Gleichungsverfahren Solver'!$E$13</definedName>
    <definedName name="solver_rhs3" localSheetId="2" hidden="1">'Gleichungsverfahren Solver'!$E$14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Matrix_A">#REF!</definedName>
    <definedName name="MatrixA">#REF!</definedName>
    <definedName name="MatrixB">#REF!</definedName>
    <definedName name="MatrixC">#REF!</definedName>
    <definedName name="MatrixD">#REF!</definedName>
    <definedName name="MatrixE">#REF!</definedName>
    <definedName name="MatrixF">#REF!</definedName>
    <definedName name="VektorB">#REF!</definedName>
    <definedName name="VektorC">#REF!</definedName>
  </definedNames>
  <calcPr/>
</workbook>
</file>

<file path=xl/sharedStrings.xml><?xml version="1.0" encoding="utf-8"?>
<sst xmlns="http://schemas.openxmlformats.org/spreadsheetml/2006/main" count="44" uniqueCount="44">
  <si>
    <t>Vorkostenstellen</t>
  </si>
  <si>
    <t>Endkostenstellen</t>
  </si>
  <si>
    <t>Kostenart</t>
  </si>
  <si>
    <t xml:space="preserve">Kostenbetrag [€]</t>
  </si>
  <si>
    <t>Verteilungsbasis</t>
  </si>
  <si>
    <t xml:space="preserve">Energie </t>
  </si>
  <si>
    <t>Gebäude</t>
  </si>
  <si>
    <t>Instandhaltung</t>
  </si>
  <si>
    <t xml:space="preserve">Material </t>
  </si>
  <si>
    <t>Fertigung</t>
  </si>
  <si>
    <t>Verwaltung</t>
  </si>
  <si>
    <t>Vertrieb</t>
  </si>
  <si>
    <t>Gesamt</t>
  </si>
  <si>
    <t>Gehälter</t>
  </si>
  <si>
    <t xml:space="preserve">direkt zurechenbar</t>
  </si>
  <si>
    <t>Hilfslöhne</t>
  </si>
  <si>
    <t xml:space="preserve">Arbeitsstunden [h]</t>
  </si>
  <si>
    <t>Abschreibungen</t>
  </si>
  <si>
    <t>Zinsen</t>
  </si>
  <si>
    <t xml:space="preserve">investiertes Kapital [€]</t>
  </si>
  <si>
    <t xml:space="preserve">Hilfslöhne pro h</t>
  </si>
  <si>
    <t xml:space="preserve">Zinsen pro € Kapital</t>
  </si>
  <si>
    <t>Kostenbetrag</t>
  </si>
  <si>
    <t xml:space="preserve">Primäre Gemeinkosten</t>
  </si>
  <si>
    <t>Summe</t>
  </si>
  <si>
    <t xml:space="preserve">Primäre Gemeinkosten [€]</t>
  </si>
  <si>
    <t xml:space="preserve">Innerbetriebliche Leistungen</t>
  </si>
  <si>
    <t xml:space="preserve">  Energie [kWh]</t>
  </si>
  <si>
    <t xml:space="preserve">  Gebäude [m²]</t>
  </si>
  <si>
    <t xml:space="preserve">  Instandhaltung [h]</t>
  </si>
  <si>
    <t>LEISTUNGSBEZIEHUNGEN</t>
  </si>
  <si>
    <t>Energie</t>
  </si>
  <si>
    <t>:.</t>
  </si>
  <si>
    <t>Leistungen=</t>
  </si>
  <si>
    <t>Kosten</t>
  </si>
  <si>
    <t xml:space="preserve">Energie €/kWh</t>
  </si>
  <si>
    <t xml:space="preserve">Gebäudemiete €/m2</t>
  </si>
  <si>
    <t xml:space="preserve">Instandhaltungs €/h</t>
  </si>
  <si>
    <t xml:space="preserve">Sekundäre Gemeinkosten</t>
  </si>
  <si>
    <t xml:space="preserve">  Energie</t>
  </si>
  <si>
    <t xml:space="preserve">  Gebäude</t>
  </si>
  <si>
    <t xml:space="preserve">  Instandhaltung</t>
  </si>
  <si>
    <t xml:space="preserve">Entlastung (für erbrachte Leistungen)</t>
  </si>
  <si>
    <t xml:space="preserve">Gesamte Gemeinkosten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</si>
</sst>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\ &quot;€&quot;_-;\-* #,##0.00\ &quot;€&quot;_-;_-* &quot;-&quot;??\ &quot;€&quot;_-;_-@_-"/>
    <numFmt numFmtId="161" formatCode="_-* #,##0\ &quot;€&quot;_-;\-* #,##0\ &quot;€&quot;_-;_-* &quot;-&quot;??\ &quot;€&quot;_-;_-@_-"/>
  </numFmts>
  <fonts count="4">
    <font>
      <name val="Arial"/>
      <color theme="1"/>
      <sz val="10.000000"/>
    </font>
    <font>
      <name val="Calibri"/>
      <color theme="1"/>
      <sz val="11.000000"/>
      <scheme val="minor"/>
    </font>
    <font>
      <name val="Arial"/>
      <sz val="10.000000"/>
    </font>
    <font>
      <name val="Arial"/>
      <b/>
      <sz val="10.000000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1">
    <border>
      <left/>
      <right/>
      <top/>
      <bottom/>
      <diagonal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160" applyNumberFormat="1" applyFont="0" applyFill="0" applyBorder="0" applyProtection="0"/>
  </cellStyleXfs>
  <cellXfs count="17">
    <xf fontId="0" fillId="0" borderId="0" numFmtId="0" xfId="0"/>
    <xf fontId="0" fillId="0" borderId="0" numFmtId="0" xfId="0"/>
    <xf fontId="0" fillId="0" borderId="0" numFmtId="0" xfId="0" applyAlignment="1">
      <alignment horizontal="center"/>
    </xf>
    <xf fontId="0" fillId="0" borderId="0" numFmtId="3" xfId="0" applyNumberFormat="1"/>
    <xf fontId="0" fillId="0" borderId="0" numFmtId="160" xfId="2" applyNumberFormat="1"/>
    <xf fontId="2" fillId="0" borderId="0" numFmtId="0" xfId="0" applyFont="1"/>
    <xf fontId="0" fillId="0" borderId="0" numFmtId="161" xfId="2" applyNumberFormat="1"/>
    <xf fontId="3" fillId="0" borderId="0" numFmtId="161" xfId="2" applyNumberFormat="1" applyFont="1"/>
    <xf fontId="3" fillId="0" borderId="0" numFmtId="3" xfId="0" applyNumberFormat="1" applyFont="1" applyAlignment="1">
      <alignment horizontal="right"/>
    </xf>
    <xf fontId="3" fillId="0" borderId="0" numFmtId="3" xfId="0" applyNumberFormat="1" applyFont="1"/>
    <xf fontId="3" fillId="0" borderId="0" numFmtId="0" xfId="0" applyFont="1"/>
    <xf fontId="2" fillId="0" borderId="0" numFmtId="160" xfId="0" applyNumberFormat="1" applyFont="1"/>
    <xf fontId="2" fillId="0" borderId="0" numFmtId="3" xfId="0" applyNumberFormat="1" applyFont="1" applyAlignment="1">
      <alignment horizontal="right"/>
    </xf>
    <xf fontId="2" fillId="0" borderId="0" numFmtId="3" xfId="0" applyNumberFormat="1" applyFont="1"/>
    <xf fontId="2" fillId="0" borderId="0" numFmtId="3" xfId="0" applyNumberFormat="1" applyFont="1" applyAlignment="1">
      <alignment horizontal="left"/>
    </xf>
    <xf fontId="2" fillId="2" borderId="0" numFmtId="160" xfId="2" applyNumberFormat="1" applyFont="1" applyFill="1"/>
    <xf fontId="0" fillId="0" borderId="0" numFmtId="160" xfId="0" applyNumberFormat="1"/>
  </cellXfs>
  <cellStyles count="3">
    <cellStyle name="Standard" xfId="0" builtinId="0"/>
    <cellStyle name="Standard 2" xfId="1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H11" activeCellId="0" sqref="H11"/>
    </sheetView>
  </sheetViews>
  <sheetFormatPr baseColWidth="10" defaultRowHeight="12.75"/>
  <cols>
    <col customWidth="1" min="1" max="1" width="14.44140625"/>
    <col customWidth="1" min="2" max="2" width="14.21875"/>
    <col customWidth="1" min="3" max="3" width="19.77734375"/>
    <col customWidth="1" min="6" max="6" width="13.44140625"/>
    <col customWidth="1" min="11" max="11" width="13.21875"/>
    <col customWidth="1" min="13" max="13" width="19.5546875"/>
    <col customWidth="1" min="14" max="14" width="15"/>
    <col bestFit="1" customWidth="1" min="15" max="15" width="11.77734375"/>
    <col bestFit="1" customWidth="1" min="16" max="16" width="12.77734375"/>
    <col customWidth="1" min="17" max="17" width="13.44140625"/>
    <col bestFit="1" customWidth="1" min="18" max="21" width="12.77734375"/>
    <col bestFit="1" customWidth="1" min="22" max="22" width="14.44140625"/>
  </cols>
  <sheetData>
    <row r="1">
      <c r="A1" s="1"/>
      <c r="B1" s="1"/>
      <c r="C1" s="1"/>
      <c r="D1" s="2" t="s">
        <v>0</v>
      </c>
      <c r="E1" s="2"/>
      <c r="F1" s="2"/>
      <c r="G1" s="2" t="s">
        <v>1</v>
      </c>
      <c r="H1" s="2"/>
      <c r="I1" s="2"/>
      <c r="J1" s="2"/>
      <c r="K1" s="1"/>
    </row>
    <row r="2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r="3">
      <c r="A3" s="1" t="s">
        <v>13</v>
      </c>
      <c r="B3" s="3">
        <v>454000</v>
      </c>
      <c r="C3" s="1" t="s">
        <v>14</v>
      </c>
      <c r="D3" s="3">
        <v>3600</v>
      </c>
      <c r="E3" s="3">
        <v>16800</v>
      </c>
      <c r="F3" s="3">
        <v>20000</v>
      </c>
      <c r="G3" s="3">
        <v>12000</v>
      </c>
      <c r="H3" s="3">
        <v>162000</v>
      </c>
      <c r="I3" s="3">
        <v>153600</v>
      </c>
      <c r="J3" s="3">
        <v>86000</v>
      </c>
      <c r="K3" s="3">
        <f t="shared" ref="K3:K6" si="0">SUM(D3:J3)</f>
        <v>454000</v>
      </c>
    </row>
    <row r="4">
      <c r="A4" s="1" t="s">
        <v>15</v>
      </c>
      <c r="B4" s="3">
        <v>196000</v>
      </c>
      <c r="C4" s="1" t="s">
        <v>16</v>
      </c>
      <c r="D4" s="3">
        <v>100</v>
      </c>
      <c r="E4" s="3">
        <v>300</v>
      </c>
      <c r="F4" s="3">
        <v>3000</v>
      </c>
      <c r="G4" s="3">
        <v>4000</v>
      </c>
      <c r="H4" s="3">
        <v>6000</v>
      </c>
      <c r="I4" s="3">
        <v>200</v>
      </c>
      <c r="J4" s="3">
        <v>400</v>
      </c>
      <c r="K4" s="3">
        <f t="shared" si="0"/>
        <v>14000</v>
      </c>
    </row>
    <row r="5">
      <c r="A5" s="1" t="s">
        <v>17</v>
      </c>
      <c r="B5" s="3">
        <v>360000</v>
      </c>
      <c r="C5" s="1" t="s">
        <v>14</v>
      </c>
      <c r="D5" s="3">
        <v>4000</v>
      </c>
      <c r="E5" s="3">
        <v>42000</v>
      </c>
      <c r="F5" s="3">
        <v>34000</v>
      </c>
      <c r="G5" s="3">
        <v>40000</v>
      </c>
      <c r="H5" s="3">
        <v>190000</v>
      </c>
      <c r="I5" s="3">
        <v>25600</v>
      </c>
      <c r="J5" s="3">
        <v>24400</v>
      </c>
      <c r="K5" s="3">
        <f t="shared" si="0"/>
        <v>360000</v>
      </c>
    </row>
    <row r="6">
      <c r="A6" s="1" t="s">
        <v>18</v>
      </c>
      <c r="B6" s="3">
        <v>300000</v>
      </c>
      <c r="C6" s="1" t="s">
        <v>19</v>
      </c>
      <c r="D6" s="3">
        <v>100000</v>
      </c>
      <c r="E6" s="3">
        <v>3700000</v>
      </c>
      <c r="F6" s="3">
        <v>2400000</v>
      </c>
      <c r="G6" s="3">
        <v>3200000</v>
      </c>
      <c r="H6" s="3">
        <v>16400000</v>
      </c>
      <c r="I6" s="3">
        <v>1800000</v>
      </c>
      <c r="J6" s="3">
        <v>2400000</v>
      </c>
      <c r="K6" s="3">
        <f t="shared" si="0"/>
        <v>30000000</v>
      </c>
    </row>
    <row r="7">
      <c r="A7" s="1"/>
      <c r="B7" s="3"/>
      <c r="C7" s="1"/>
      <c r="D7" s="3"/>
      <c r="E7" s="3"/>
      <c r="F7" s="3"/>
      <c r="G7" s="3"/>
      <c r="H7" s="3"/>
      <c r="I7" s="3"/>
      <c r="J7" s="3"/>
      <c r="K7" s="3"/>
    </row>
    <row r="8">
      <c r="C8" s="1" t="s">
        <v>20</v>
      </c>
      <c r="D8" s="4">
        <f>B4/K4</f>
        <v>14</v>
      </c>
    </row>
    <row r="9">
      <c r="C9" s="5" t="s">
        <v>21</v>
      </c>
      <c r="D9" s="4">
        <f>B6/K6</f>
        <v>0.01</v>
      </c>
    </row>
    <row r="10">
      <c r="B10" s="1"/>
      <c r="C10" s="1"/>
      <c r="D10" s="2" t="s">
        <v>0</v>
      </c>
      <c r="E10" s="2"/>
      <c r="F10" s="2"/>
      <c r="G10" s="2" t="s">
        <v>1</v>
      </c>
      <c r="H10" s="2"/>
      <c r="I10" s="2"/>
      <c r="J10" s="2"/>
      <c r="K10" s="1"/>
    </row>
    <row r="11">
      <c r="A11" s="1" t="s">
        <v>2</v>
      </c>
      <c r="B11" s="1" t="s">
        <v>22</v>
      </c>
      <c r="D11" s="2" t="s">
        <v>5</v>
      </c>
      <c r="E11" s="2" t="s">
        <v>6</v>
      </c>
      <c r="F11" s="2" t="s">
        <v>7</v>
      </c>
      <c r="G11" s="2" t="s">
        <v>8</v>
      </c>
      <c r="H11" s="2" t="s">
        <v>9</v>
      </c>
      <c r="I11" s="2" t="s">
        <v>10</v>
      </c>
      <c r="J11" s="2" t="s">
        <v>11</v>
      </c>
      <c r="K11" s="2" t="s">
        <v>12</v>
      </c>
    </row>
    <row r="12">
      <c r="A12" s="1" t="s">
        <v>13</v>
      </c>
      <c r="B12" s="6">
        <f t="shared" ref="B12:B15" si="1">B3</f>
        <v>454000</v>
      </c>
      <c r="D12" s="6">
        <f>D3</f>
        <v>3600</v>
      </c>
      <c r="E12" s="6">
        <f t="shared" ref="E12:J12" si="2">E3</f>
        <v>16800</v>
      </c>
      <c r="F12" s="6">
        <f t="shared" si="2"/>
        <v>20000</v>
      </c>
      <c r="G12" s="6">
        <f t="shared" si="2"/>
        <v>12000</v>
      </c>
      <c r="H12" s="6">
        <f t="shared" si="2"/>
        <v>162000</v>
      </c>
      <c r="I12" s="6">
        <f t="shared" si="2"/>
        <v>153600</v>
      </c>
      <c r="J12" s="6">
        <f t="shared" si="2"/>
        <v>86000</v>
      </c>
      <c r="K12" s="6">
        <f t="shared" ref="K12:K15" si="3">SUM(D12:J12)</f>
        <v>454000</v>
      </c>
    </row>
    <row r="13">
      <c r="A13" s="1" t="s">
        <v>15</v>
      </c>
      <c r="B13" s="6">
        <f t="shared" si="1"/>
        <v>196000</v>
      </c>
      <c r="D13" s="6">
        <f>D4*$D$8</f>
        <v>1400</v>
      </c>
      <c r="E13" s="6">
        <f t="shared" ref="E13:J13" si="4">E4*$D$8</f>
        <v>4200</v>
      </c>
      <c r="F13" s="6">
        <f t="shared" si="4"/>
        <v>42000</v>
      </c>
      <c r="G13" s="6">
        <f t="shared" si="4"/>
        <v>56000</v>
      </c>
      <c r="H13" s="6">
        <f>H4*$D$8</f>
        <v>84000</v>
      </c>
      <c r="I13" s="6">
        <f t="shared" si="4"/>
        <v>2800</v>
      </c>
      <c r="J13" s="6">
        <f t="shared" si="4"/>
        <v>5600</v>
      </c>
      <c r="K13" s="6">
        <f t="shared" si="3"/>
        <v>196000</v>
      </c>
    </row>
    <row r="14">
      <c r="A14" s="1" t="s">
        <v>17</v>
      </c>
      <c r="B14" s="6">
        <f t="shared" si="1"/>
        <v>360000</v>
      </c>
      <c r="D14" s="6">
        <f>D5</f>
        <v>4000</v>
      </c>
      <c r="E14" s="6">
        <f t="shared" ref="E14:J14" si="5">E5</f>
        <v>42000</v>
      </c>
      <c r="F14" s="6">
        <f t="shared" si="5"/>
        <v>34000</v>
      </c>
      <c r="G14" s="6">
        <f t="shared" si="5"/>
        <v>40000</v>
      </c>
      <c r="H14" s="6">
        <f t="shared" si="5"/>
        <v>190000</v>
      </c>
      <c r="I14" s="6">
        <f t="shared" si="5"/>
        <v>25600</v>
      </c>
      <c r="J14" s="6">
        <f t="shared" si="5"/>
        <v>24400</v>
      </c>
      <c r="K14" s="6">
        <f t="shared" si="3"/>
        <v>360000</v>
      </c>
    </row>
    <row r="15">
      <c r="A15" s="1" t="s">
        <v>18</v>
      </c>
      <c r="B15" s="6">
        <f t="shared" si="1"/>
        <v>300000</v>
      </c>
      <c r="D15" s="6">
        <f>D6*$D$9</f>
        <v>1000</v>
      </c>
      <c r="E15" s="6">
        <f t="shared" ref="E15:J15" si="6">E6*$D$9</f>
        <v>37000</v>
      </c>
      <c r="F15" s="6">
        <f t="shared" si="6"/>
        <v>24000</v>
      </c>
      <c r="G15" s="6">
        <f t="shared" si="6"/>
        <v>32000</v>
      </c>
      <c r="H15" s="6">
        <f>H6*$D$9</f>
        <v>164000</v>
      </c>
      <c r="I15" s="6">
        <f t="shared" si="6"/>
        <v>18000</v>
      </c>
      <c r="J15" s="6">
        <f t="shared" si="6"/>
        <v>24000</v>
      </c>
      <c r="K15" s="6">
        <f t="shared" si="3"/>
        <v>300000</v>
      </c>
    </row>
    <row r="16">
      <c r="A16" s="1"/>
      <c r="B16" s="6"/>
      <c r="D16" s="6"/>
      <c r="E16" s="6"/>
      <c r="F16" s="6"/>
      <c r="G16" s="6"/>
      <c r="H16" s="6"/>
      <c r="I16" s="6"/>
      <c r="J16" s="6"/>
      <c r="K16" s="6"/>
    </row>
    <row r="17">
      <c r="A17" s="1" t="s">
        <v>23</v>
      </c>
      <c r="B17" s="6">
        <f>SUM(B12:B15)</f>
        <v>1310000</v>
      </c>
      <c r="D17" s="6">
        <f>SUM(D12:D15)</f>
        <v>10000</v>
      </c>
      <c r="E17" s="6">
        <f t="shared" ref="E17:J17" si="7">SUM(E12:E15)</f>
        <v>100000</v>
      </c>
      <c r="F17" s="6">
        <f t="shared" si="7"/>
        <v>120000</v>
      </c>
      <c r="G17" s="6">
        <f t="shared" si="7"/>
        <v>140000</v>
      </c>
      <c r="H17" s="6">
        <f t="shared" si="7"/>
        <v>600000</v>
      </c>
      <c r="I17" s="6">
        <f t="shared" si="7"/>
        <v>200000</v>
      </c>
      <c r="J17" s="6">
        <f t="shared" si="7"/>
        <v>140000</v>
      </c>
      <c r="K17" s="6"/>
    </row>
    <row r="18">
      <c r="A18" s="1"/>
      <c r="B18" s="1"/>
      <c r="C18" s="2"/>
      <c r="D18" s="2"/>
      <c r="E18" s="2"/>
      <c r="F18" s="2"/>
      <c r="G18" s="2"/>
      <c r="H18" s="2"/>
      <c r="I18" s="2"/>
      <c r="J18" s="1"/>
    </row>
  </sheetData>
  <mergeCells count="4">
    <mergeCell ref="D1:F1"/>
    <mergeCell ref="G1:J1"/>
    <mergeCell ref="D10:F10"/>
    <mergeCell ref="G10:J10"/>
  </mergeCells>
  <printOptions headings="0" gridLines="0"/>
  <pageMargins left="0.69999999999999996" right="0.69999999999999996" top="0.78740157500000008" bottom="0.78740157500000008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K6" activeCellId="0" sqref="K6"/>
    </sheetView>
  </sheetViews>
  <sheetFormatPr baseColWidth="10" defaultRowHeight="12.75"/>
  <cols>
    <col customWidth="1" min="1" max="1" width="24.21875"/>
    <col customWidth="1" min="2" max="2" width="13.21875"/>
    <col customWidth="1" min="3" max="3" width="14.77734375"/>
    <col customWidth="1" min="4" max="4" width="13.21875"/>
    <col bestFit="1" customWidth="1" min="5" max="8" width="13"/>
    <col bestFit="1" customWidth="1" min="9" max="9" width="14.5546875"/>
    <col customWidth="1" min="12" max="12" width="13.5546875"/>
  </cols>
  <sheetData>
    <row r="1">
      <c r="B1" s="2" t="s">
        <v>0</v>
      </c>
      <c r="C1" s="2"/>
      <c r="D1" s="2"/>
      <c r="E1" s="2" t="s">
        <v>1</v>
      </c>
      <c r="F1" s="2"/>
      <c r="G1" s="2"/>
      <c r="H1" s="2"/>
      <c r="I1" s="1"/>
    </row>
    <row r="2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24</v>
      </c>
    </row>
    <row r="3">
      <c r="A3" t="s">
        <v>25</v>
      </c>
      <c r="B3" s="7">
        <v>10000</v>
      </c>
      <c r="C3" s="7">
        <v>100000</v>
      </c>
      <c r="D3" s="7">
        <v>120000</v>
      </c>
      <c r="E3" s="7">
        <v>140000</v>
      </c>
      <c r="F3" s="7">
        <v>600000</v>
      </c>
      <c r="G3" s="7">
        <v>200000</v>
      </c>
      <c r="H3" s="7">
        <v>140000</v>
      </c>
      <c r="I3" s="6">
        <v>1310000</v>
      </c>
    </row>
    <row r="4">
      <c r="A4" t="s">
        <v>26</v>
      </c>
    </row>
    <row r="5">
      <c r="A5" t="s">
        <v>27</v>
      </c>
      <c r="B5" s="8">
        <v>0</v>
      </c>
      <c r="C5" s="9">
        <v>3000</v>
      </c>
      <c r="D5" s="9">
        <v>2000</v>
      </c>
      <c r="E5" s="9">
        <v>20000</v>
      </c>
      <c r="F5" s="9">
        <v>88000</v>
      </c>
      <c r="G5" s="9">
        <v>4000</v>
      </c>
      <c r="H5" s="9">
        <v>3000</v>
      </c>
      <c r="I5" s="3">
        <f t="shared" ref="I5:I7" si="8">SUM(B5:H5)</f>
        <v>120000</v>
      </c>
    </row>
    <row r="6">
      <c r="A6" t="s">
        <v>28</v>
      </c>
      <c r="B6" s="9">
        <v>500</v>
      </c>
      <c r="C6" s="8">
        <v>400</v>
      </c>
      <c r="D6" s="9">
        <v>500</v>
      </c>
      <c r="E6" s="9">
        <v>1000</v>
      </c>
      <c r="F6" s="9">
        <v>3000</v>
      </c>
      <c r="G6" s="9">
        <v>600</v>
      </c>
      <c r="H6" s="9">
        <v>400</v>
      </c>
      <c r="I6" s="3">
        <f t="shared" si="8"/>
        <v>6400</v>
      </c>
    </row>
    <row r="7">
      <c r="A7" t="s">
        <v>29</v>
      </c>
      <c r="B7" s="9">
        <v>350</v>
      </c>
      <c r="C7" s="9">
        <v>650</v>
      </c>
      <c r="D7" s="8">
        <v>200</v>
      </c>
      <c r="E7" s="9">
        <v>1000</v>
      </c>
      <c r="F7" s="9">
        <v>2100</v>
      </c>
      <c r="G7" s="9">
        <v>250</v>
      </c>
      <c r="H7" s="9">
        <v>150</v>
      </c>
      <c r="I7" s="3">
        <f t="shared" si="8"/>
        <v>4700</v>
      </c>
    </row>
    <row r="8">
      <c r="B8" s="9"/>
      <c r="C8" s="9"/>
      <c r="D8" s="9"/>
      <c r="E8" s="9"/>
      <c r="F8" s="9"/>
      <c r="G8" s="9"/>
      <c r="H8" s="9"/>
      <c r="I8" s="3"/>
    </row>
    <row r="9">
      <c r="B9" s="9"/>
      <c r="C9" s="9"/>
      <c r="D9" s="9"/>
      <c r="E9" s="9"/>
      <c r="F9" s="9"/>
      <c r="G9" s="9"/>
      <c r="H9" s="9"/>
      <c r="I9" s="3"/>
    </row>
    <row r="49">
      <c r="B49" s="2"/>
      <c r="C49" s="2"/>
      <c r="D49" s="2"/>
      <c r="E49" s="2"/>
      <c r="F49" s="2"/>
      <c r="G49" s="2"/>
      <c r="H49" s="2"/>
    </row>
    <row r="61">
      <c r="B61" s="2"/>
      <c r="C61" s="2"/>
      <c r="D61" s="2"/>
      <c r="E61" s="2"/>
      <c r="F61" s="2"/>
      <c r="G61" s="2"/>
      <c r="H61" s="2"/>
    </row>
    <row r="63">
      <c r="B63" s="3"/>
      <c r="C63" s="3"/>
      <c r="D63" s="3"/>
      <c r="E63" s="3"/>
      <c r="F63" s="3"/>
      <c r="G63" s="3"/>
      <c r="H63" s="3"/>
      <c r="I63" s="3"/>
    </row>
  </sheetData>
  <mergeCells count="6">
    <mergeCell ref="B1:D1"/>
    <mergeCell ref="E1:H1"/>
    <mergeCell ref="B49:D49"/>
    <mergeCell ref="E49:H49"/>
    <mergeCell ref="B61:D61"/>
    <mergeCell ref="E61:H61"/>
  </mergeCells>
  <printOptions headings="0" gridLines="0"/>
  <pageMargins left="0.78740157500000008" right="0.78740157500000008" top="0.98425196899999989" bottom="0.98425196899999989" header="0.49212598449999995" footer="0.49212598449999995"/>
  <pageSetup paperSize="9" scale="100" firstPageNumber="2147483648" fitToWidth="1" fitToHeight="1" pageOrder="downThenOver" orientation="portrait" usePrinterDefaults="1" blackAndWhite="0" draft="0" cellComments="none" useFirstPageNumber="0" errors="displayed" horizontalDpi="0" verticalDpi="0" copies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A24" activeCellId="0" sqref="A24"/>
    </sheetView>
  </sheetViews>
  <sheetFormatPr baseColWidth="10" defaultRowHeight="12.75"/>
  <cols>
    <col customWidth="1" min="1" max="1" width="29"/>
    <col bestFit="1" customWidth="1" min="2" max="2" width="12.77734375"/>
    <col customWidth="1" min="3" max="3" width="19.57421875"/>
    <col customWidth="1" min="4" max="4" width="23.7109375"/>
    <col customWidth="1" min="5" max="6" width="15.21875"/>
    <col customWidth="1" min="7" max="7" width="16.140625"/>
    <col customWidth="1" min="8" max="8" width="24.7109375"/>
    <col customWidth="1" min="9" max="9" width="24.00390625"/>
  </cols>
  <sheetData>
    <row r="1">
      <c r="A1" s="10" t="s">
        <v>30</v>
      </c>
    </row>
    <row r="3">
      <c r="B3" s="2" t="s">
        <v>0</v>
      </c>
      <c r="C3" s="2"/>
      <c r="D3" s="2"/>
      <c r="E3" s="2" t="s">
        <v>1</v>
      </c>
      <c r="F3" s="2"/>
      <c r="G3" s="2"/>
      <c r="H3" s="2"/>
      <c r="I3" s="1"/>
    </row>
    <row r="4">
      <c r="B4" s="2" t="s">
        <v>31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24</v>
      </c>
    </row>
    <row r="5">
      <c r="A5" t="s">
        <v>23</v>
      </c>
      <c r="B5" s="11">
        <f>Primäre_GK!D17</f>
        <v>10000</v>
      </c>
      <c r="C5" s="11">
        <f>Primäre_GK!E17</f>
        <v>100000</v>
      </c>
      <c r="D5" s="11">
        <f>Primäre_GK!F17</f>
        <v>120000</v>
      </c>
      <c r="E5" s="11">
        <f>Primäre_GK!G17</f>
        <v>140000</v>
      </c>
      <c r="F5" s="11">
        <f>Primäre_GK!H17</f>
        <v>600000</v>
      </c>
      <c r="G5" s="11">
        <f>Primäre_GK!I17</f>
        <v>200000</v>
      </c>
      <c r="H5" s="11">
        <f>Primäre_GK!J17</f>
        <v>140000</v>
      </c>
      <c r="I5" s="11">
        <f>Primäre_GK!K17</f>
        <v>0</v>
      </c>
    </row>
    <row r="6">
      <c r="A6" t="s">
        <v>26</v>
      </c>
      <c r="B6" s="5"/>
      <c r="C6" s="5"/>
      <c r="D6" s="5"/>
      <c r="E6" s="5"/>
      <c r="F6" s="5"/>
      <c r="G6" s="5"/>
      <c r="H6" s="5"/>
      <c r="I6" s="5"/>
      <c r="J6" t="s">
        <v>32</v>
      </c>
    </row>
    <row r="7">
      <c r="A7" t="s">
        <v>27</v>
      </c>
      <c r="B7" s="12">
        <f>Leistungsbeziehungen!B5</f>
        <v>0</v>
      </c>
      <c r="C7" s="13">
        <f>Leistungsbeziehungen!C5</f>
        <v>3000</v>
      </c>
      <c r="D7" s="13">
        <f>Leistungsbeziehungen!D5</f>
        <v>2000</v>
      </c>
      <c r="E7" s="13">
        <f>Leistungsbeziehungen!E5</f>
        <v>20000</v>
      </c>
      <c r="F7" s="13">
        <f>Leistungsbeziehungen!F5</f>
        <v>88000</v>
      </c>
      <c r="G7" s="13">
        <f>Leistungsbeziehungen!G5</f>
        <v>4000</v>
      </c>
      <c r="H7" s="13">
        <f>Leistungsbeziehungen!H5</f>
        <v>3000</v>
      </c>
      <c r="I7" s="13">
        <f t="shared" ref="I7:I9" si="9">SUM(B7:H7)</f>
        <v>120000</v>
      </c>
    </row>
    <row r="8">
      <c r="A8" t="s">
        <v>28</v>
      </c>
      <c r="B8" s="13">
        <f>Leistungsbeziehungen!B6</f>
        <v>500</v>
      </c>
      <c r="C8" s="12">
        <f>Leistungsbeziehungen!C6</f>
        <v>400</v>
      </c>
      <c r="D8" s="13">
        <f>Leistungsbeziehungen!D6</f>
        <v>500</v>
      </c>
      <c r="E8" s="13">
        <f>Leistungsbeziehungen!E6</f>
        <v>1000</v>
      </c>
      <c r="F8" s="13">
        <f>Leistungsbeziehungen!F6</f>
        <v>3000</v>
      </c>
      <c r="G8" s="13">
        <f>Leistungsbeziehungen!G6</f>
        <v>600</v>
      </c>
      <c r="H8" s="13">
        <f>Leistungsbeziehungen!H6</f>
        <v>400</v>
      </c>
      <c r="I8" s="13">
        <f t="shared" si="9"/>
        <v>6400</v>
      </c>
    </row>
    <row r="9">
      <c r="A9" t="s">
        <v>29</v>
      </c>
      <c r="B9" s="13">
        <f>Leistungsbeziehungen!B7</f>
        <v>350</v>
      </c>
      <c r="C9" s="13">
        <f>Leistungsbeziehungen!C7</f>
        <v>650</v>
      </c>
      <c r="D9" s="12">
        <f>Leistungsbeziehungen!D7</f>
        <v>200</v>
      </c>
      <c r="E9" s="13">
        <f>Leistungsbeziehungen!E7</f>
        <v>1000</v>
      </c>
      <c r="F9" s="13">
        <f>Leistungsbeziehungen!F7</f>
        <v>2100</v>
      </c>
      <c r="G9" s="13">
        <f>Leistungsbeziehungen!G7</f>
        <v>250</v>
      </c>
      <c r="H9" s="13">
        <f>Leistungsbeziehungen!H7</f>
        <v>150</v>
      </c>
      <c r="I9" s="13">
        <f t="shared" si="9"/>
        <v>4700</v>
      </c>
    </row>
    <row r="10">
      <c r="B10" s="13"/>
      <c r="C10" s="13"/>
      <c r="D10" s="12"/>
      <c r="E10" s="13"/>
      <c r="F10" s="13"/>
      <c r="G10" s="13"/>
      <c r="H10" s="13"/>
      <c r="I10" s="13"/>
    </row>
    <row r="11">
      <c r="B11" s="13"/>
      <c r="C11" s="13"/>
      <c r="D11" s="14" t="s">
        <v>33</v>
      </c>
      <c r="E11" s="13" t="s">
        <v>34</v>
      </c>
      <c r="F11" s="13"/>
      <c r="G11" s="13"/>
      <c r="H11" s="13"/>
      <c r="I11" s="13"/>
    </row>
    <row r="12">
      <c r="A12" t="s">
        <v>35</v>
      </c>
      <c r="B12" s="15">
        <v>0.25095057034220536</v>
      </c>
      <c r="C12" s="13"/>
      <c r="D12" s="13">
        <f t="shared" ref="D12:D14" si="10">I7*B12</f>
        <v>30114.068441064643</v>
      </c>
      <c r="E12" s="13">
        <f>B5+B7*B12+B8*B13+B9*B14</f>
        <v>30114.068441064643</v>
      </c>
      <c r="F12" s="13"/>
      <c r="G12" s="13"/>
      <c r="H12" s="13"/>
      <c r="I12" s="13"/>
    </row>
    <row r="13">
      <c r="A13" t="s">
        <v>36</v>
      </c>
      <c r="B13" s="15">
        <v>19.933048488887149</v>
      </c>
      <c r="C13" s="13"/>
      <c r="D13" s="13">
        <f t="shared" si="10"/>
        <v>127571.51032887775</v>
      </c>
      <c r="E13" s="13">
        <f>C5+C7*B12+C8*B13+C9*B14</f>
        <v>127571.51032887773</v>
      </c>
      <c r="F13" s="13"/>
      <c r="G13" s="13"/>
      <c r="H13" s="13"/>
      <c r="I13" s="13"/>
    </row>
    <row r="14">
      <c r="A14" t="s">
        <v>37</v>
      </c>
      <c r="B14" s="15">
        <v>28.99298341891733</v>
      </c>
      <c r="C14" s="13"/>
      <c r="D14" s="13">
        <f t="shared" si="10"/>
        <v>136267.02206891146</v>
      </c>
      <c r="E14" s="13">
        <f>D5+D7*B12+D8*B13+D9*B14</f>
        <v>136267.02206891144</v>
      </c>
      <c r="F14" s="13"/>
      <c r="G14" s="13"/>
      <c r="H14" s="13"/>
      <c r="I14" s="13"/>
    </row>
    <row r="15">
      <c r="B15" s="13"/>
      <c r="C15" s="13"/>
      <c r="D15" s="12"/>
      <c r="E15" s="13"/>
      <c r="F15" s="13"/>
      <c r="G15" s="13"/>
      <c r="H15" s="13"/>
      <c r="I15" s="13"/>
    </row>
    <row r="16">
      <c r="B16" s="2" t="s">
        <v>0</v>
      </c>
      <c r="C16" s="2"/>
      <c r="D16" s="2"/>
      <c r="E16" s="2" t="s">
        <v>1</v>
      </c>
      <c r="F16" s="2"/>
      <c r="G16" s="2"/>
      <c r="H16" s="2"/>
      <c r="I16" s="1"/>
    </row>
    <row r="17">
      <c r="B17" s="2" t="s">
        <v>5</v>
      </c>
      <c r="C17" s="2" t="s">
        <v>6</v>
      </c>
      <c r="D17" s="2" t="s">
        <v>7</v>
      </c>
      <c r="E17" s="2" t="s">
        <v>8</v>
      </c>
      <c r="F17" s="2" t="s">
        <v>9</v>
      </c>
      <c r="G17" s="2" t="s">
        <v>10</v>
      </c>
      <c r="H17" s="2" t="s">
        <v>11</v>
      </c>
      <c r="I17" s="2" t="s">
        <v>24</v>
      </c>
    </row>
    <row r="18">
      <c r="A18" t="s">
        <v>23</v>
      </c>
      <c r="B18" s="16">
        <f t="shared" ref="B18:H18" si="11">B5</f>
        <v>10000</v>
      </c>
      <c r="C18" s="16">
        <f t="shared" si="11"/>
        <v>100000</v>
      </c>
      <c r="D18" s="16">
        <f t="shared" si="11"/>
        <v>120000</v>
      </c>
      <c r="E18" s="16">
        <f t="shared" si="11"/>
        <v>140000</v>
      </c>
      <c r="F18" s="16">
        <f t="shared" si="11"/>
        <v>600000</v>
      </c>
      <c r="G18" s="16">
        <f t="shared" si="11"/>
        <v>200000</v>
      </c>
      <c r="H18" s="16">
        <f t="shared" si="11"/>
        <v>140000</v>
      </c>
      <c r="I18" s="16">
        <f>SUM(B18:H18)</f>
        <v>1310000</v>
      </c>
    </row>
    <row r="19">
      <c r="A19" t="s">
        <v>38</v>
      </c>
      <c r="B19" s="16"/>
      <c r="C19" s="16"/>
      <c r="D19" s="16"/>
      <c r="E19" s="16"/>
      <c r="F19" s="16"/>
      <c r="G19" s="16"/>
      <c r="H19" s="16"/>
      <c r="I19" s="16"/>
    </row>
    <row r="20">
      <c r="A20" t="s">
        <v>39</v>
      </c>
      <c r="B20" s="16">
        <f>B7*$B$12</f>
        <v>0</v>
      </c>
      <c r="C20" s="16">
        <f t="shared" ref="C20:I20" si="12">C7*$B$12</f>
        <v>752.85171102661604</v>
      </c>
      <c r="D20" s="16">
        <f t="shared" si="12"/>
        <v>501.90114068441073</v>
      </c>
      <c r="E20" s="16">
        <f>E7*$B$12</f>
        <v>5019.0114068441071</v>
      </c>
      <c r="F20" s="16">
        <f t="shared" si="12"/>
        <v>22083.650190114073</v>
      </c>
      <c r="G20" s="16">
        <f t="shared" si="12"/>
        <v>1003.8022813688215</v>
      </c>
      <c r="H20" s="16">
        <f>H7*$B$12</f>
        <v>752.85171102661604</v>
      </c>
      <c r="I20" s="16">
        <f t="shared" ref="I20:I25" si="13">SUM(B20:H20)</f>
        <v>30114.068441064643</v>
      </c>
    </row>
    <row r="21">
      <c r="A21" t="s">
        <v>40</v>
      </c>
      <c r="B21" s="16">
        <f>B8*$B$13</f>
        <v>9966.5242444435753</v>
      </c>
      <c r="C21" s="16">
        <f t="shared" ref="C21:I21" si="14">C8*$B$13</f>
        <v>7973.2193955548591</v>
      </c>
      <c r="D21" s="16">
        <f t="shared" si="14"/>
        <v>9966.5242444435753</v>
      </c>
      <c r="E21" s="16">
        <f t="shared" si="14"/>
        <v>19933.048488887151</v>
      </c>
      <c r="F21" s="16">
        <f>F8*$B$13</f>
        <v>59799.145466661445</v>
      </c>
      <c r="G21" s="16">
        <f t="shared" si="14"/>
        <v>11959.82909333229</v>
      </c>
      <c r="H21" s="16">
        <f t="shared" si="14"/>
        <v>7973.2193955548591</v>
      </c>
      <c r="I21" s="16">
        <f t="shared" si="13"/>
        <v>127571.51032887775</v>
      </c>
    </row>
    <row r="22">
      <c r="A22" t="s">
        <v>41</v>
      </c>
      <c r="B22" s="16">
        <f>B9*$B$14</f>
        <v>10147.544196621066</v>
      </c>
      <c r="C22" s="16">
        <f t="shared" ref="C22:I22" si="15">C9*$B$14</f>
        <v>18845.439222296263</v>
      </c>
      <c r="D22" s="16">
        <f t="shared" si="15"/>
        <v>5798.5966837834658</v>
      </c>
      <c r="E22" s="16">
        <f>E9*$B$14</f>
        <v>28992.983418917331</v>
      </c>
      <c r="F22" s="16">
        <f t="shared" si="15"/>
        <v>60885.26517972639</v>
      </c>
      <c r="G22" s="16">
        <f t="shared" si="15"/>
        <v>7248.2458547293327</v>
      </c>
      <c r="H22" s="16">
        <f t="shared" si="15"/>
        <v>4348.9475128375998</v>
      </c>
      <c r="I22" s="16">
        <f t="shared" si="13"/>
        <v>136267.02206891144</v>
      </c>
    </row>
    <row r="23">
      <c r="A23" s="5" t="s">
        <v>42</v>
      </c>
      <c r="B23" s="16">
        <f>-I7*$B$12</f>
        <v>-30114.068441064643</v>
      </c>
      <c r="C23" s="16">
        <f>-I8*B13</f>
        <v>-127571.51032887775</v>
      </c>
      <c r="D23" s="16">
        <f>-I9*B14</f>
        <v>-136267.02206891146</v>
      </c>
      <c r="E23" s="16"/>
      <c r="F23" s="16"/>
      <c r="G23" s="16"/>
      <c r="H23" s="16"/>
      <c r="I23" s="16"/>
    </row>
    <row r="24">
      <c r="B24" s="16"/>
      <c r="C24" s="16"/>
      <c r="D24" s="16"/>
      <c r="E24" s="16"/>
      <c r="F24" s="16"/>
      <c r="G24" s="16"/>
      <c r="H24" s="16"/>
      <c r="I24" s="16"/>
    </row>
    <row r="25">
      <c r="A25" t="s">
        <v>43</v>
      </c>
      <c r="B25" s="16">
        <f>SUM(B18:B23)</f>
        <v>0</v>
      </c>
      <c r="C25" s="16">
        <f t="shared" ref="C25:H25" si="16">SUM(C18:C23)</f>
        <v>0</v>
      </c>
      <c r="D25" s="16">
        <f t="shared" si="16"/>
        <v>0</v>
      </c>
      <c r="E25" s="16">
        <f t="shared" si="16"/>
        <v>193945.04331464859</v>
      </c>
      <c r="F25" s="16">
        <f t="shared" si="16"/>
        <v>742768.06083650189</v>
      </c>
      <c r="G25" s="16">
        <f t="shared" si="16"/>
        <v>220211.87722943042</v>
      </c>
      <c r="H25" s="16">
        <f t="shared" si="16"/>
        <v>153075.01861941908</v>
      </c>
      <c r="I25" s="16">
        <f t="shared" si="13"/>
        <v>1310000</v>
      </c>
    </row>
  </sheetData>
  <mergeCells count="4">
    <mergeCell ref="B3:D3"/>
    <mergeCell ref="E3:H3"/>
    <mergeCell ref="B16:D16"/>
    <mergeCell ref="E16:H16"/>
  </mergeCells>
  <printOptions headings="0" gridLines="0"/>
  <pageMargins left="0.69999999999999996" right="0.69999999999999996" top="0.78740157500000008" bottom="0.78740157500000008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Anett Seifert</dc:creator>
  <cp:lastModifiedBy>Renata Kachshayeva</cp:lastModifiedBy>
  <cp:revision>3</cp:revision>
  <dcterms:created xsi:type="dcterms:W3CDTF">2008-01-20T13:03:51Z</dcterms:created>
  <dcterms:modified xsi:type="dcterms:W3CDTF">2026-01-06T13:14:34Z</dcterms:modified>
</cp:coreProperties>
</file>